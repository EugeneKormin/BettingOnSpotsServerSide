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" defaultThemeVersion="164011"/>
  <mc:AlternateContent xmlns:mc="http://schemas.openxmlformats.org/markup-compatibility/2006">
    <mc:Choice Requires="x15">
      <x15ac:absPath xmlns:x15ac="http://schemas.microsoft.com/office/spreadsheetml/2010/11/ac" url="C:\Users\Eugene\PycharmProjects\sportsAPI\"/>
    </mc:Choice>
  </mc:AlternateContent>
  <bookViews>
    <workbookView xWindow="0" yWindow="0" windowWidth="9300" windowHeight="5385"/>
  </bookViews>
  <sheets>
    <sheet name="teams" sheetId="1" r:id="rId1"/>
    <sheet name="team list" sheetId="2" r:id="rId2"/>
    <sheet name="server details" sheetId="3" r:id="rId3"/>
  </sheets>
  <functionGroups builtInGroupCount="18"/>
  <definedNames>
    <definedName name="_xlnm._FilterDatabase" localSheetId="1" hidden="1">'team list'!$A$2:$A$7</definedName>
    <definedName name="teams">'team list'!$A$2:$A$7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5" i="1" l="1"/>
  <c r="J3" i="1"/>
  <c r="J2" i="1"/>
  <c r="J4" i="1"/>
  <c r="I3" i="1"/>
  <c r="I4" i="1"/>
  <c r="I5" i="1"/>
  <c r="I2" i="1"/>
</calcChain>
</file>

<file path=xl/sharedStrings.xml><?xml version="1.0" encoding="utf-8"?>
<sst xmlns="http://schemas.openxmlformats.org/spreadsheetml/2006/main" count="70" uniqueCount="52">
  <si>
    <t>team1</t>
  </si>
  <si>
    <t>team2</t>
  </si>
  <si>
    <t>trust range</t>
  </si>
  <si>
    <t>advices bet</t>
  </si>
  <si>
    <t>coef</t>
  </si>
  <si>
    <t>Florida Panthers</t>
  </si>
  <si>
    <t>Colorado Avalanche</t>
  </si>
  <si>
    <t>Carolina Hurricanes</t>
  </si>
  <si>
    <t>Toronto Maple Leafs</t>
  </si>
  <si>
    <t>Minnesota Wild</t>
  </si>
  <si>
    <t>Calgary Flames</t>
  </si>
  <si>
    <t>St. Louis Blues</t>
  </si>
  <si>
    <t>Tampa Bay Lightning</t>
  </si>
  <si>
    <t>New York Rangers</t>
  </si>
  <si>
    <t>Boston Bruins</t>
  </si>
  <si>
    <t>Edmonton Oilers</t>
  </si>
  <si>
    <t>Pittsburgh Penguins</t>
  </si>
  <si>
    <t>Washington Capitals</t>
  </si>
  <si>
    <t>Los Angeles Kings</t>
  </si>
  <si>
    <t>Nashville Predators</t>
  </si>
  <si>
    <t>Dallas Stars</t>
  </si>
  <si>
    <t>Vegas Golden Knights</t>
  </si>
  <si>
    <t>Vancouver Canucks</t>
  </si>
  <si>
    <t>Winnipeg Jets</t>
  </si>
  <si>
    <t>New York Islanders</t>
  </si>
  <si>
    <t>Columbus Blue Jackets</t>
  </si>
  <si>
    <t>San Jose Sharks</t>
  </si>
  <si>
    <t>Anaheim Ducks</t>
  </si>
  <si>
    <t>Buffalo Sabres</t>
  </si>
  <si>
    <t>Detroit Red Wings</t>
  </si>
  <si>
    <t>Ottawa Senators</t>
  </si>
  <si>
    <t>Chicago Blackhawks</t>
  </si>
  <si>
    <t>New Jersey Devils</t>
  </si>
  <si>
    <t>Philadelphia Flyers</t>
  </si>
  <si>
    <t>Seattle Kraken</t>
  </si>
  <si>
    <t>Arizona Coyotes</t>
  </si>
  <si>
    <t>Montreal Canadiens</t>
  </si>
  <si>
    <t>actual result</t>
  </si>
  <si>
    <t>server IP</t>
  </si>
  <si>
    <t>port</t>
  </si>
  <si>
    <t>192.168.0.37</t>
  </si>
  <si>
    <t>advance</t>
  </si>
  <si>
    <t>bet</t>
  </si>
  <si>
    <t>1X</t>
  </si>
  <si>
    <t>2 -1.5</t>
  </si>
  <si>
    <t>фора: +0.5 на Carolina Hurricanes</t>
  </si>
  <si>
    <t>фора: +0.5 на Toronto Maple Leafs</t>
  </si>
  <si>
    <t>фора: +1.0 на Minnesota Wild</t>
  </si>
  <si>
    <t>фора: +2.0 на Carolina Hurricanes</t>
  </si>
  <si>
    <t>actual</t>
  </si>
  <si>
    <t>for trus range eval</t>
  </si>
  <si>
    <t>http://172.17.0.2:5000/api/v1.0/predict?team_A=Calgary_Flames&amp;team_B=Dallas_Stars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</si>
</sst>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3">
    <xf numFmtId="0" fontId="0" fillId="0" borderId="0"/>
    <xf numFmtId="9" fontId="1" fillId="0" borderId="0" applyFont="0" applyFill="0" applyBorder="0" applyAlignment="0" applyProtection="0"/>
    <xf numFmtId="0" fontId="2" fillId="0" borderId="0" applyNumberFormat="0" applyFill="0" applyBorder="0" applyAlignment="0" applyProtection="0"/>
  </cellStyleXfs>
  <cellXfs count="11">
    <xf numFmtId="0" fontId="0" fillId="0" borderId="0" xfId="0"/>
    <xf numFmtId="1" fontId="0" fillId="0" borderId="0" xfId="0" applyNumberFormat="1"/>
    <xf numFmtId="10" fontId="0" fillId="0" borderId="0" xfId="1" applyNumberFormat="1" applyFont="1"/>
    <xf numFmtId="0" fontId="0" fillId="0" borderId="0" xfId="0" applyAlignment="1">
      <alignment textRotation="90"/>
    </xf>
    <xf numFmtId="0" fontId="0" fillId="0" borderId="0" xfId="0" applyAlignment="1">
      <alignment horizontal="center" vertical="center" textRotation="90"/>
    </xf>
    <xf numFmtId="0" fontId="0" fillId="0" borderId="0" xfId="0" applyAlignment="1">
      <alignment horizontal="right"/>
    </xf>
    <xf numFmtId="0" fontId="0" fillId="0" borderId="0" xfId="0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16" fontId="0" fillId="0" borderId="0" xfId="0" quotePrefix="1" applyNumberFormat="1" applyAlignment="1">
      <alignment horizontal="center" vertical="center"/>
    </xf>
    <xf numFmtId="0" fontId="2" fillId="0" borderId="0" xfId="2"/>
    <xf numFmtId="0" fontId="0" fillId="0" borderId="0" xfId="0" applyAlignment="1">
      <alignment wrapText="1"/>
    </xf>
  </cellXfs>
  <cellStyles count="3">
    <cellStyle name="Гиперссылка" xfId="2" builtinId="8"/>
    <cellStyle name="Обычный" xfId="0" builtinId="0"/>
    <cellStyle name="Процентный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19050</xdr:colOff>
          <xdr:row>0</xdr:row>
          <xdr:rowOff>9525</xdr:rowOff>
        </xdr:from>
        <xdr:to>
          <xdr:col>12</xdr:col>
          <xdr:colOff>19050</xdr:colOff>
          <xdr:row>0</xdr:row>
          <xdr:rowOff>381000</xdr:rowOff>
        </xdr:to>
        <xdr:sp macro="" textlink="">
          <xdr:nvSpPr>
            <xdr:cNvPr id="1026" name="RequestButton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"/>
  <dimension ref="A1:J16"/>
  <sheetViews>
    <sheetView tabSelected="1" workbookViewId="0">
      <selection activeCell="H8" sqref="H8"/>
    </sheetView>
  </sheetViews>
  <sheetFormatPr defaultRowHeight="15" x14ac:dyDescent="0.25"/>
  <cols>
    <col min="1" max="1" width="21.5703125" customWidth="1"/>
    <col min="2" max="2" width="20.7109375" customWidth="1"/>
    <col min="3" max="3" width="9.140625" customWidth="1"/>
    <col min="4" max="4" width="9.140625" style="6" customWidth="1"/>
    <col min="5" max="5" width="32" customWidth="1"/>
    <col min="6" max="9" width="9.140625" customWidth="1"/>
  </cols>
  <sheetData>
    <row r="1" spans="1:10" s="3" customFormat="1" ht="102" customHeight="1" x14ac:dyDescent="0.25">
      <c r="A1" s="4" t="s">
        <v>0</v>
      </c>
      <c r="B1" s="4" t="s">
        <v>1</v>
      </c>
      <c r="C1" s="4" t="s">
        <v>4</v>
      </c>
      <c r="D1" s="4" t="s">
        <v>42</v>
      </c>
      <c r="E1" s="4" t="s">
        <v>41</v>
      </c>
      <c r="F1" s="4" t="s">
        <v>2</v>
      </c>
      <c r="G1" s="4" t="s">
        <v>3</v>
      </c>
      <c r="H1" s="4" t="s">
        <v>37</v>
      </c>
      <c r="I1" s="4" t="s">
        <v>50</v>
      </c>
      <c r="J1" s="3" t="s">
        <v>49</v>
      </c>
    </row>
    <row r="2" spans="1:10" x14ac:dyDescent="0.25">
      <c r="A2" t="s">
        <v>7</v>
      </c>
      <c r="B2" t="s">
        <v>14</v>
      </c>
      <c r="C2">
        <v>1.536</v>
      </c>
      <c r="D2" s="6" t="s">
        <v>43</v>
      </c>
      <c r="E2" t="s">
        <v>45</v>
      </c>
      <c r="G2">
        <v>100</v>
      </c>
      <c r="H2">
        <v>1</v>
      </c>
      <c r="I2">
        <f>(H2*C2*100)-100</f>
        <v>53.599999999999994</v>
      </c>
      <c r="J2">
        <f>H2*G2*C2-G2</f>
        <v>53.599999999999994</v>
      </c>
    </row>
    <row r="3" spans="1:10" x14ac:dyDescent="0.25">
      <c r="A3" t="s">
        <v>8</v>
      </c>
      <c r="B3" t="s">
        <v>12</v>
      </c>
      <c r="C3">
        <v>2.71</v>
      </c>
      <c r="D3" s="6">
        <v>2</v>
      </c>
      <c r="E3" t="s">
        <v>46</v>
      </c>
      <c r="G3">
        <v>150</v>
      </c>
      <c r="H3">
        <v>0</v>
      </c>
      <c r="I3">
        <f t="shared" ref="I3:I5" si="0">(H3*C3*100)-100</f>
        <v>-100</v>
      </c>
      <c r="J3">
        <f>H3*G3*C3-G3</f>
        <v>-150</v>
      </c>
    </row>
    <row r="4" spans="1:10" x14ac:dyDescent="0.25">
      <c r="A4" t="s">
        <v>9</v>
      </c>
      <c r="B4" t="s">
        <v>11</v>
      </c>
      <c r="C4">
        <v>2.2509999999999999</v>
      </c>
      <c r="D4" s="6">
        <v>2</v>
      </c>
      <c r="E4" t="s">
        <v>47</v>
      </c>
      <c r="G4">
        <v>150</v>
      </c>
      <c r="H4">
        <v>1</v>
      </c>
      <c r="I4">
        <f t="shared" si="0"/>
        <v>125.1</v>
      </c>
      <c r="J4">
        <f>(C4*G4*H4)-G4</f>
        <v>187.64999999999998</v>
      </c>
    </row>
    <row r="5" spans="1:10" x14ac:dyDescent="0.25">
      <c r="A5" t="s">
        <v>15</v>
      </c>
      <c r="B5" t="s">
        <v>18</v>
      </c>
      <c r="C5">
        <v>2.1800000000000002</v>
      </c>
      <c r="D5" s="8" t="s">
        <v>44</v>
      </c>
      <c r="E5" t="s">
        <v>48</v>
      </c>
      <c r="G5">
        <v>100</v>
      </c>
      <c r="H5">
        <v>0</v>
      </c>
      <c r="I5">
        <f t="shared" si="0"/>
        <v>-100</v>
      </c>
      <c r="J5">
        <f>H5*G5*C5-G5</f>
        <v>-100</v>
      </c>
    </row>
    <row r="6" spans="1:10" x14ac:dyDescent="0.25">
      <c r="A6" t="s">
        <v>10</v>
      </c>
      <c r="B6" t="s">
        <v>20</v>
      </c>
      <c r="E6" s="10"/>
      <c r="J6" s="2"/>
    </row>
    <row r="7" spans="1:10" x14ac:dyDescent="0.25">
      <c r="A7" t="s">
        <v>7</v>
      </c>
      <c r="B7" t="s">
        <v>14</v>
      </c>
      <c r="E7" s="10"/>
    </row>
    <row r="8" spans="1:10" x14ac:dyDescent="0.25">
      <c r="A8" t="s">
        <v>8</v>
      </c>
      <c r="B8" t="s">
        <v>12</v>
      </c>
      <c r="D8" s="7"/>
      <c r="E8" s="10"/>
      <c r="G8" s="1"/>
      <c r="H8" s="1"/>
      <c r="I8" s="1"/>
    </row>
    <row r="9" spans="1:10" x14ac:dyDescent="0.25">
      <c r="A9" t="s">
        <v>9</v>
      </c>
      <c r="B9" t="s">
        <v>11</v>
      </c>
      <c r="E9" s="10"/>
    </row>
    <row r="10" spans="1:10" x14ac:dyDescent="0.25">
      <c r="A10" t="s">
        <v>15</v>
      </c>
      <c r="B10" t="s">
        <v>18</v>
      </c>
      <c r="E10" s="10"/>
    </row>
    <row r="15" spans="1:10" x14ac:dyDescent="0.25">
      <c r="B15" t="s">
        <v>51</v>
      </c>
    </row>
    <row r="16" spans="1:10" x14ac:dyDescent="0.25">
      <c r="C16" s="9"/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6" r:id="rId4" name="RequestButton">
          <controlPr defaultSize="0" autoLine="0" r:id="rId5">
            <anchor moveWithCells="1">
              <from>
                <xdr:col>10</xdr:col>
                <xdr:colOff>19050</xdr:colOff>
                <xdr:row>0</xdr:row>
                <xdr:rowOff>9525</xdr:rowOff>
              </from>
              <to>
                <xdr:col>12</xdr:col>
                <xdr:colOff>19050</xdr:colOff>
                <xdr:row>0</xdr:row>
                <xdr:rowOff>381000</xdr:rowOff>
              </to>
            </anchor>
          </controlPr>
        </control>
      </mc:Choice>
      <mc:Fallback>
        <control shapeId="1026" r:id="rId4" name="RequestButton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'team list'!$A:$A</xm:f>
          </x14:formula1>
          <xm:sqref>E7:E11 A15 A1:B14 A16:B1048576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2:B33"/>
  <sheetViews>
    <sheetView topLeftCell="A22" workbookViewId="0">
      <selection activeCell="B16" sqref="B16"/>
    </sheetView>
  </sheetViews>
  <sheetFormatPr defaultRowHeight="15" x14ac:dyDescent="0.25"/>
  <cols>
    <col min="1" max="1" width="24.85546875" customWidth="1"/>
  </cols>
  <sheetData>
    <row r="2" spans="1:2" x14ac:dyDescent="0.25">
      <c r="A2" t="s">
        <v>27</v>
      </c>
    </row>
    <row r="3" spans="1:2" x14ac:dyDescent="0.25">
      <c r="A3" t="s">
        <v>35</v>
      </c>
    </row>
    <row r="4" spans="1:2" x14ac:dyDescent="0.25">
      <c r="A4" t="s">
        <v>14</v>
      </c>
      <c r="B4">
        <v>53</v>
      </c>
    </row>
    <row r="5" spans="1:2" x14ac:dyDescent="0.25">
      <c r="A5" t="s">
        <v>28</v>
      </c>
    </row>
    <row r="6" spans="1:2" x14ac:dyDescent="0.25">
      <c r="A6" t="s">
        <v>10</v>
      </c>
    </row>
    <row r="7" spans="1:2" x14ac:dyDescent="0.25">
      <c r="A7" t="s">
        <v>7</v>
      </c>
      <c r="B7">
        <v>53</v>
      </c>
    </row>
    <row r="8" spans="1:2" x14ac:dyDescent="0.25">
      <c r="A8" t="s">
        <v>31</v>
      </c>
    </row>
    <row r="9" spans="1:2" x14ac:dyDescent="0.25">
      <c r="A9" t="s">
        <v>6</v>
      </c>
    </row>
    <row r="10" spans="1:2" x14ac:dyDescent="0.25">
      <c r="A10" t="s">
        <v>25</v>
      </c>
    </row>
    <row r="11" spans="1:2" x14ac:dyDescent="0.25">
      <c r="A11" t="s">
        <v>20</v>
      </c>
    </row>
    <row r="12" spans="1:2" x14ac:dyDescent="0.25">
      <c r="A12" t="s">
        <v>29</v>
      </c>
    </row>
    <row r="13" spans="1:2" x14ac:dyDescent="0.25">
      <c r="A13" t="s">
        <v>15</v>
      </c>
      <c r="B13">
        <v>-100</v>
      </c>
    </row>
    <row r="14" spans="1:2" x14ac:dyDescent="0.25">
      <c r="A14" t="s">
        <v>5</v>
      </c>
    </row>
    <row r="15" spans="1:2" x14ac:dyDescent="0.25">
      <c r="A15" t="s">
        <v>18</v>
      </c>
      <c r="B15">
        <v>-100</v>
      </c>
    </row>
    <row r="16" spans="1:2" x14ac:dyDescent="0.25">
      <c r="A16" t="s">
        <v>9</v>
      </c>
      <c r="B16">
        <v>125</v>
      </c>
    </row>
    <row r="17" spans="1:2" x14ac:dyDescent="0.25">
      <c r="A17" t="s">
        <v>36</v>
      </c>
    </row>
    <row r="18" spans="1:2" x14ac:dyDescent="0.25">
      <c r="A18" t="s">
        <v>19</v>
      </c>
    </row>
    <row r="19" spans="1:2" x14ac:dyDescent="0.25">
      <c r="A19" t="s">
        <v>32</v>
      </c>
    </row>
    <row r="20" spans="1:2" x14ac:dyDescent="0.25">
      <c r="A20" t="s">
        <v>24</v>
      </c>
    </row>
    <row r="21" spans="1:2" x14ac:dyDescent="0.25">
      <c r="A21" t="s">
        <v>13</v>
      </c>
    </row>
    <row r="22" spans="1:2" x14ac:dyDescent="0.25">
      <c r="A22" t="s">
        <v>30</v>
      </c>
    </row>
    <row r="23" spans="1:2" x14ac:dyDescent="0.25">
      <c r="A23" t="s">
        <v>33</v>
      </c>
    </row>
    <row r="24" spans="1:2" x14ac:dyDescent="0.25">
      <c r="A24" t="s">
        <v>16</v>
      </c>
    </row>
    <row r="25" spans="1:2" x14ac:dyDescent="0.25">
      <c r="A25" t="s">
        <v>26</v>
      </c>
    </row>
    <row r="26" spans="1:2" x14ac:dyDescent="0.25">
      <c r="A26" t="s">
        <v>34</v>
      </c>
    </row>
    <row r="27" spans="1:2" x14ac:dyDescent="0.25">
      <c r="A27" t="s">
        <v>11</v>
      </c>
      <c r="B27">
        <v>125</v>
      </c>
    </row>
    <row r="28" spans="1:2" x14ac:dyDescent="0.25">
      <c r="A28" t="s">
        <v>12</v>
      </c>
      <c r="B28">
        <v>-100</v>
      </c>
    </row>
    <row r="29" spans="1:2" x14ac:dyDescent="0.25">
      <c r="A29" t="s">
        <v>8</v>
      </c>
      <c r="B29">
        <v>-100</v>
      </c>
    </row>
    <row r="30" spans="1:2" x14ac:dyDescent="0.25">
      <c r="A30" t="s">
        <v>22</v>
      </c>
    </row>
    <row r="31" spans="1:2" x14ac:dyDescent="0.25">
      <c r="A31" t="s">
        <v>21</v>
      </c>
    </row>
    <row r="32" spans="1:2" x14ac:dyDescent="0.25">
      <c r="A32" t="s">
        <v>17</v>
      </c>
    </row>
    <row r="33" spans="1:1" x14ac:dyDescent="0.25">
      <c r="A33" t="s">
        <v>23</v>
      </c>
    </row>
  </sheetData>
  <autoFilter ref="A2:A7"/>
  <sortState ref="A1:A32">
    <sortCondition ref="A1"/>
  </sortState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1:B2"/>
  <sheetViews>
    <sheetView workbookViewId="0">
      <selection activeCell="F17" sqref="F17"/>
    </sheetView>
  </sheetViews>
  <sheetFormatPr defaultRowHeight="15" x14ac:dyDescent="0.25"/>
  <cols>
    <col min="2" max="2" width="13" customWidth="1"/>
  </cols>
  <sheetData>
    <row r="1" spans="1:2" x14ac:dyDescent="0.25">
      <c r="A1" t="s">
        <v>38</v>
      </c>
      <c r="B1" s="5" t="s">
        <v>40</v>
      </c>
    </row>
    <row r="2" spans="1:2" x14ac:dyDescent="0.25">
      <c r="A2" t="s">
        <v>39</v>
      </c>
      <c r="B2" s="5">
        <v>105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3</vt:i4>
      </vt:variant>
      <vt:variant>
        <vt:lpstr>Именованные диапазоны</vt:lpstr>
      </vt:variant>
      <vt:variant>
        <vt:i4>1</vt:i4>
      </vt:variant>
    </vt:vector>
  </HeadingPairs>
  <TitlesOfParts>
    <vt:vector size="4" baseType="lpstr">
      <vt:lpstr>teams</vt:lpstr>
      <vt:lpstr>team list</vt:lpstr>
      <vt:lpstr>server details</vt:lpstr>
      <vt:lpstr>teams</vt:lpstr>
    </vt:vector>
  </TitlesOfParts>
  <Company>SPecialiST RePack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Eugene</dc:creator>
  <cp:lastModifiedBy>Eugene</cp:lastModifiedBy>
  <dcterms:created xsi:type="dcterms:W3CDTF">2022-05-01T15:08:11Z</dcterms:created>
  <dcterms:modified xsi:type="dcterms:W3CDTF">2022-05-08T03:24:10Z</dcterms:modified>
</cp:coreProperties>
</file>